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rla\GitHub Projects\insightops-ecommerce-analytics\dashboards\"/>
    </mc:Choice>
  </mc:AlternateContent>
  <xr:revisionPtr revIDLastSave="0" documentId="13_ncr:1_{52D598CF-676C-4A27-A1A7-408DFE11DD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" sheetId="1" r:id="rId1"/>
    <sheet name="targ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  <c r="J78" i="1" s="1"/>
  <c r="E78" i="1"/>
  <c r="I77" i="1"/>
  <c r="J77" i="1" s="1"/>
  <c r="E77" i="1"/>
  <c r="I76" i="1"/>
  <c r="J76" i="1" s="1"/>
  <c r="E76" i="1"/>
  <c r="I75" i="1"/>
  <c r="J75" i="1" s="1"/>
  <c r="E75" i="1"/>
  <c r="I74" i="1"/>
  <c r="J74" i="1" s="1"/>
  <c r="E74" i="1"/>
  <c r="I73" i="1"/>
  <c r="J73" i="1" s="1"/>
  <c r="E73" i="1"/>
  <c r="I72" i="1"/>
  <c r="J72" i="1" s="1"/>
  <c r="E72" i="1"/>
  <c r="I71" i="1"/>
  <c r="J71" i="1" s="1"/>
  <c r="E71" i="1"/>
  <c r="I70" i="1"/>
  <c r="J70" i="1" s="1"/>
  <c r="E70" i="1"/>
  <c r="I69" i="1"/>
  <c r="J69" i="1" s="1"/>
  <c r="E69" i="1"/>
  <c r="I68" i="1"/>
  <c r="J68" i="1" s="1"/>
  <c r="E68" i="1"/>
  <c r="I67" i="1"/>
  <c r="J67" i="1" s="1"/>
  <c r="E67" i="1"/>
  <c r="J66" i="1"/>
  <c r="I66" i="1"/>
  <c r="E66" i="1"/>
  <c r="I65" i="1"/>
  <c r="J65" i="1" s="1"/>
  <c r="E65" i="1"/>
  <c r="I64" i="1"/>
  <c r="J64" i="1" s="1"/>
  <c r="E64" i="1"/>
  <c r="I63" i="1"/>
  <c r="J63" i="1" s="1"/>
  <c r="E63" i="1"/>
  <c r="I62" i="1"/>
  <c r="J62" i="1" s="1"/>
  <c r="E62" i="1"/>
  <c r="I61" i="1"/>
  <c r="J61" i="1" s="1"/>
  <c r="E61" i="1"/>
  <c r="J60" i="1"/>
  <c r="I60" i="1"/>
  <c r="E60" i="1"/>
  <c r="I59" i="1"/>
  <c r="J59" i="1" s="1"/>
  <c r="E59" i="1"/>
  <c r="I58" i="1"/>
  <c r="J58" i="1" s="1"/>
  <c r="E58" i="1"/>
  <c r="I57" i="1"/>
  <c r="J57" i="1" s="1"/>
  <c r="E57" i="1"/>
  <c r="I56" i="1"/>
  <c r="J56" i="1" s="1"/>
  <c r="E56" i="1"/>
  <c r="I55" i="1"/>
  <c r="J55" i="1" s="1"/>
  <c r="E55" i="1"/>
  <c r="I54" i="1"/>
  <c r="J54" i="1" s="1"/>
  <c r="E54" i="1"/>
  <c r="I53" i="1"/>
  <c r="J53" i="1" s="1"/>
  <c r="E53" i="1"/>
  <c r="I52" i="1"/>
  <c r="J52" i="1" s="1"/>
  <c r="E52" i="1"/>
  <c r="I51" i="1"/>
  <c r="J51" i="1" s="1"/>
  <c r="E51" i="1"/>
  <c r="I50" i="1"/>
  <c r="J50" i="1" s="1"/>
  <c r="E50" i="1"/>
  <c r="I49" i="1"/>
  <c r="J49" i="1" s="1"/>
  <c r="E49" i="1"/>
  <c r="I48" i="1"/>
  <c r="J48" i="1" s="1"/>
  <c r="E48" i="1"/>
  <c r="I47" i="1"/>
  <c r="J47" i="1" s="1"/>
  <c r="E47" i="1"/>
  <c r="I46" i="1"/>
  <c r="J46" i="1" s="1"/>
  <c r="E46" i="1"/>
  <c r="I45" i="1"/>
  <c r="J45" i="1" s="1"/>
  <c r="E45" i="1"/>
  <c r="I44" i="1"/>
  <c r="J44" i="1" s="1"/>
  <c r="E44" i="1"/>
  <c r="I43" i="1"/>
  <c r="J43" i="1" s="1"/>
  <c r="E43" i="1"/>
  <c r="I42" i="1"/>
  <c r="J42" i="1" s="1"/>
  <c r="E42" i="1"/>
  <c r="I41" i="1"/>
  <c r="J41" i="1" s="1"/>
  <c r="E41" i="1"/>
  <c r="I40" i="1"/>
  <c r="J40" i="1" s="1"/>
  <c r="E40" i="1"/>
  <c r="I39" i="1"/>
  <c r="J39" i="1" s="1"/>
  <c r="E39" i="1"/>
  <c r="I38" i="1"/>
  <c r="J38" i="1" s="1"/>
  <c r="E38" i="1"/>
  <c r="I37" i="1"/>
  <c r="J37" i="1" s="1"/>
  <c r="E37" i="1"/>
  <c r="I36" i="1"/>
  <c r="J36" i="1" s="1"/>
  <c r="E36" i="1"/>
  <c r="I35" i="1"/>
  <c r="J35" i="1" s="1"/>
  <c r="E35" i="1"/>
  <c r="I34" i="1"/>
  <c r="J34" i="1" s="1"/>
  <c r="E34" i="1"/>
  <c r="I33" i="1"/>
  <c r="J33" i="1" s="1"/>
  <c r="E33" i="1"/>
  <c r="I32" i="1"/>
  <c r="J32" i="1" s="1"/>
  <c r="E32" i="1"/>
  <c r="I31" i="1"/>
  <c r="J31" i="1" s="1"/>
  <c r="E31" i="1"/>
  <c r="I30" i="1"/>
  <c r="J30" i="1" s="1"/>
  <c r="E30" i="1"/>
  <c r="J29" i="1"/>
  <c r="I29" i="1"/>
  <c r="E29" i="1"/>
  <c r="I28" i="1"/>
  <c r="J28" i="1" s="1"/>
  <c r="E28" i="1"/>
  <c r="I27" i="1"/>
  <c r="J27" i="1" s="1"/>
  <c r="E27" i="1"/>
  <c r="I26" i="1"/>
  <c r="J26" i="1" s="1"/>
  <c r="E26" i="1"/>
  <c r="I25" i="1"/>
  <c r="J25" i="1" s="1"/>
  <c r="E25" i="1"/>
  <c r="I24" i="1"/>
  <c r="J24" i="1" s="1"/>
  <c r="E24" i="1"/>
  <c r="J23" i="1"/>
  <c r="I23" i="1"/>
  <c r="E23" i="1"/>
  <c r="I22" i="1"/>
  <c r="J22" i="1" s="1"/>
  <c r="E22" i="1"/>
  <c r="I21" i="1"/>
  <c r="J21" i="1" s="1"/>
  <c r="E21" i="1"/>
  <c r="I20" i="1"/>
  <c r="J20" i="1" s="1"/>
  <c r="E20" i="1"/>
  <c r="I19" i="1"/>
  <c r="J19" i="1" s="1"/>
  <c r="E19" i="1"/>
  <c r="I18" i="1"/>
  <c r="J18" i="1" s="1"/>
  <c r="E18" i="1"/>
  <c r="I17" i="1"/>
  <c r="J17" i="1" s="1"/>
  <c r="E17" i="1"/>
  <c r="I16" i="1"/>
  <c r="J16" i="1" s="1"/>
  <c r="E16" i="1"/>
  <c r="I15" i="1"/>
  <c r="J15" i="1" s="1"/>
  <c r="E15" i="1"/>
  <c r="I14" i="1"/>
  <c r="J14" i="1" s="1"/>
  <c r="E14" i="1"/>
  <c r="I13" i="1"/>
  <c r="J13" i="1" s="1"/>
  <c r="E13" i="1"/>
  <c r="I12" i="1"/>
  <c r="J12" i="1" s="1"/>
  <c r="E12" i="1"/>
  <c r="I11" i="1"/>
  <c r="J11" i="1" s="1"/>
  <c r="E11" i="1"/>
  <c r="I10" i="1"/>
  <c r="J10" i="1" s="1"/>
  <c r="E10" i="1"/>
  <c r="I9" i="1"/>
  <c r="E9" i="1"/>
  <c r="I8" i="1"/>
  <c r="E8" i="1"/>
  <c r="I7" i="1"/>
  <c r="E7" i="1"/>
  <c r="I6" i="1"/>
  <c r="E6" i="1"/>
  <c r="I5" i="1"/>
  <c r="E5" i="1"/>
  <c r="J9" i="1" l="1"/>
  <c r="J8" i="1"/>
  <c r="J7" i="1"/>
  <c r="J6" i="1"/>
  <c r="J5" i="1"/>
</calcChain>
</file>

<file path=xl/sharedStrings.xml><?xml version="1.0" encoding="utf-8"?>
<sst xmlns="http://schemas.openxmlformats.org/spreadsheetml/2006/main" count="94" uniqueCount="88">
  <si>
    <t>Revenue (item price + freight, BRL) and orders by category and year</t>
  </si>
  <si>
    <t>Valid orders only. 2016 and 2018 are partial years. Source: data/exports/dashboard_order_items.csv</t>
  </si>
  <si>
    <t>category_name</t>
  </si>
  <si>
    <t>revenue 2016</t>
  </si>
  <si>
    <t>revenue 2017</t>
  </si>
  <si>
    <t>revenue 2018</t>
  </si>
  <si>
    <t>revenue total</t>
  </si>
  <si>
    <t>orders 2016</t>
  </si>
  <si>
    <t>orders 2017</t>
  </si>
  <si>
    <t>orders 2018</t>
  </si>
  <si>
    <t>target</t>
  </si>
  <si>
    <t>actual vs target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</si>
  <si>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</si>
  <si>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</si>
  <si>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</si>
  <si>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</si>
  <si>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</si>
  <si>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</si>
  <si>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</si>
  <si>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</si>
  <si>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</si>
  <si>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</si>
  <si>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</si>
  <si>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</si>
  <si>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</si>
  <si>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</si>
  <si>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</si>
  <si>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</si>
  <si>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pet_shop</t>
  </si>
  <si>
    <t>computers</t>
  </si>
  <si>
    <t>unknown</t>
  </si>
  <si>
    <t>musical_instruments</t>
  </si>
  <si>
    <t>small_appliances</t>
  </si>
  <si>
    <t>electronics</t>
  </si>
  <si>
    <t>fashion_bags_accessories</t>
  </si>
  <si>
    <t>consoles_games</t>
  </si>
  <si>
    <t>luggage_accessories</t>
  </si>
  <si>
    <t>construction_tools_construction</t>
  </si>
  <si>
    <t>home_appliances_2</t>
  </si>
  <si>
    <t>home_construction</t>
  </si>
  <si>
    <t>home_appliances</t>
  </si>
  <si>
    <t>furniture_living_room</t>
  </si>
  <si>
    <t>agro_industry_and_commerce</t>
  </si>
  <si>
    <t>home_confort</t>
  </si>
  <si>
    <t>fixed_telephony</t>
  </si>
  <si>
    <t>air_conditioning</t>
  </si>
  <si>
    <t>kitchen_dining_laundry_garden_furniture</t>
  </si>
  <si>
    <t>audio</t>
  </si>
  <si>
    <t>books_general_interest</t>
  </si>
  <si>
    <t>small_appliances_home_oven_and_coffee</t>
  </si>
  <si>
    <t>industry_commerce_and_business</t>
  </si>
  <si>
    <t>construction_tools_lights</t>
  </si>
  <si>
    <t>construction_tools_safety</t>
  </si>
  <si>
    <t>food</t>
  </si>
  <si>
    <t>market_place</t>
  </si>
  <si>
    <t>costruction_tools_garden</t>
  </si>
  <si>
    <t>fashion_shoes</t>
  </si>
  <si>
    <t>art</t>
  </si>
  <si>
    <t>drinks</t>
  </si>
  <si>
    <t>signaling_and_security</t>
  </si>
  <si>
    <t>furniture_bedroom</t>
  </si>
  <si>
    <t>books_technical</t>
  </si>
  <si>
    <t>food_drink</t>
  </si>
  <si>
    <t>costruction_tools_tools</t>
  </si>
  <si>
    <t>fashion_male_clothing</t>
  </si>
  <si>
    <t>christmas_supplies</t>
  </si>
  <si>
    <t>fashion_underwear_beach</t>
  </si>
  <si>
    <t>tablets_printing_image</t>
  </si>
  <si>
    <t>cine_photo</t>
  </si>
  <si>
    <t>music</t>
  </si>
  <si>
    <t>furniture_mattress_and_upholstery</t>
  </si>
  <si>
    <t>dvds_blu_ray</t>
  </si>
  <si>
    <t>books_imported</t>
  </si>
  <si>
    <t>party_supplies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</si>
  <si>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</si>
  <si>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</si>
  <si>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</si>
  <si>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</si>
  <si>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</si>
  <si>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</si>
  <si>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</si>
  <si>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pc_gamer</t>
  </si>
  <si>
    <t>home_comfort_2</t>
  </si>
  <si>
    <t>cds_dvds_musicals</t>
  </si>
  <si>
    <t>fashion_childrens_clothes</t>
  </si>
  <si>
    <t>security_and_services</t>
  </si>
  <si>
    <t>target_revenue</t>
  </si>
  <si>
    <t>Illustrative targets for the exercise, not real Olist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</si>
</sst>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categories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pivot!$E$4</c:f>
              <c:strCache>
                <c:ptCount val="1"/>
                <c:pt idx="0">
                  <c:v>revenue total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pivot!$A$5:$A$14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pivot!$E$5:$E$14</c:f>
              <c:numCache>
                <c:formatCode>"R$"#,##0</c:formatCode>
                <c:ptCount val="10"/>
                <c:pt idx="0">
                  <c:v>1437665.78</c:v>
                </c:pt>
                <c:pt idx="1">
                  <c:v>1298292.4700000002</c:v>
                </c:pt>
                <c:pt idx="2">
                  <c:v>1240386.1299999999</c:v>
                </c:pt>
                <c:pt idx="3">
                  <c:v>1147244.6299999999</c:v>
                </c:pt>
                <c:pt idx="4">
                  <c:v>1050941.58</c:v>
                </c:pt>
                <c:pt idx="5">
                  <c:v>899626.04</c:v>
                </c:pt>
                <c:pt idx="6">
                  <c:v>772035.14</c:v>
                </c:pt>
                <c:pt idx="7">
                  <c:v>704086.24</c:v>
                </c:pt>
                <c:pt idx="8">
                  <c:v>678606.64</c:v>
                </c:pt>
                <c:pt idx="9">
                  <c:v>579525.19999999995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20-4428-8AED-74579F5FF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BRL</a:t>
                </a:r>
              </a:p>
            </c:rich>
          </c:tx>
          <c:overlay val="1"/>
        </c:title>
        <c:numFmt formatCode="&quot;R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2" customWidth="1"/>
    <col min="2" max="10" width="15" customWidth="1"/>
  </cols>
  <sheetData>
    <row r="1" spans="1:10" ht="17" x14ac:dyDescent="0.4">
      <c r="A1" s="1" t="s">
        <v>0</v>
      </c>
    </row>
    <row r="2" spans="1:10" x14ac:dyDescent="0.35">
      <c r="A2" t="s">
        <v>1</v>
      </c>
    </row>
    <row r="4" spans="1:10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35">
      <c r="A5" t="s">
        <v>12</v>
      </c>
      <c r="B5" s="3">
        <v>5452.4</v>
      </c>
      <c r="C5" s="3">
        <v>549590.82999999996</v>
      </c>
      <c r="D5" s="3">
        <v>882622.55</v>
      </c>
      <c r="E5" s="3">
        <f t="shared" ref="E5:E36" si="0">SUM(B5:D5)</f>
        <v>1437665.78</v>
      </c>
      <c r="F5">
        <v>43</v>
      </c>
      <c r="G5">
        <v>3382</v>
      </c>
      <c r="H5">
        <v>5375</v>
      </c>
      <c r="I5" s="3">
        <f>_xlfn.XLOOKUP(A5,targets!A:A,targets!B:B,"no target")</f>
        <v>1400000</v>
      </c>
      <c r="J5" s="4">
        <f t="shared" ref="J5:J36" si="1">IF(ISNUMBER(I5),E5/I5,"")</f>
        <v>1.0269041285714287</v>
      </c>
    </row>
    <row r="6" spans="1:10" x14ac:dyDescent="0.35">
      <c r="A6" t="s">
        <v>13</v>
      </c>
      <c r="B6" s="3">
        <v>3468.04</v>
      </c>
      <c r="C6" s="3">
        <v>523487.4</v>
      </c>
      <c r="D6" s="3">
        <v>771337.03</v>
      </c>
      <c r="E6" s="3">
        <f t="shared" si="0"/>
        <v>1298292.4700000002</v>
      </c>
      <c r="F6">
        <v>5</v>
      </c>
      <c r="G6">
        <v>2114</v>
      </c>
      <c r="H6">
        <v>3485</v>
      </c>
      <c r="I6" s="3">
        <f>_xlfn.XLOOKUP(A6,targets!A:A,targets!B:B,"no target")</f>
        <v>1200000</v>
      </c>
      <c r="J6" s="4">
        <f t="shared" si="1"/>
        <v>1.0819103916666668</v>
      </c>
    </row>
    <row r="7" spans="1:10" x14ac:dyDescent="0.35">
      <c r="A7" t="s">
        <v>14</v>
      </c>
      <c r="B7" s="3">
        <v>606.58000000000004</v>
      </c>
      <c r="C7" s="3">
        <v>589698.39</v>
      </c>
      <c r="D7" s="3">
        <v>650081.16</v>
      </c>
      <c r="E7" s="3">
        <f t="shared" si="0"/>
        <v>1240386.1299999999</v>
      </c>
      <c r="F7">
        <v>5</v>
      </c>
      <c r="G7">
        <v>4496</v>
      </c>
      <c r="H7">
        <v>4898</v>
      </c>
      <c r="I7" s="3">
        <f>_xlfn.XLOOKUP(A7,targets!A:A,targets!B:B,"no target")</f>
        <v>1300000</v>
      </c>
      <c r="J7" s="4">
        <f t="shared" si="1"/>
        <v>0.95414317692307682</v>
      </c>
    </row>
    <row r="8" spans="1:10" x14ac:dyDescent="0.35">
      <c r="A8" t="s">
        <v>15</v>
      </c>
      <c r="B8" s="3">
        <v>2490.7600000000002</v>
      </c>
      <c r="C8" s="3">
        <v>525556.12</v>
      </c>
      <c r="D8" s="3">
        <v>619197.75</v>
      </c>
      <c r="E8" s="3">
        <f t="shared" si="0"/>
        <v>1147244.6299999999</v>
      </c>
      <c r="F8">
        <v>17</v>
      </c>
      <c r="G8">
        <v>3621</v>
      </c>
      <c r="H8">
        <v>4035</v>
      </c>
      <c r="I8" s="3">
        <f>_xlfn.XLOOKUP(A8,targets!A:A,targets!B:B,"no target")</f>
        <v>1100000</v>
      </c>
      <c r="J8" s="4">
        <f t="shared" si="1"/>
        <v>1.0429496636363635</v>
      </c>
    </row>
    <row r="9" spans="1:10" x14ac:dyDescent="0.35">
      <c r="A9" t="s">
        <v>16</v>
      </c>
      <c r="B9" s="3">
        <v>1740.09</v>
      </c>
      <c r="C9" s="3">
        <v>457876.2</v>
      </c>
      <c r="D9" s="3">
        <v>591325.29</v>
      </c>
      <c r="E9" s="3">
        <f t="shared" si="0"/>
        <v>1050941.58</v>
      </c>
      <c r="F9">
        <v>18</v>
      </c>
      <c r="G9">
        <v>2606</v>
      </c>
      <c r="H9">
        <v>4030</v>
      </c>
      <c r="I9" s="3">
        <f>_xlfn.XLOOKUP(A9,targets!A:A,targets!B:B,"no target")</f>
        <v>1000000</v>
      </c>
      <c r="J9" s="4">
        <f t="shared" si="1"/>
        <v>1.0509415800000002</v>
      </c>
    </row>
    <row r="10" spans="1:10" x14ac:dyDescent="0.35">
      <c r="A10" t="s">
        <v>17</v>
      </c>
      <c r="B10" s="3">
        <v>7188.51</v>
      </c>
      <c r="C10" s="3">
        <v>417689.55</v>
      </c>
      <c r="D10" s="3">
        <v>474747.98</v>
      </c>
      <c r="E10" s="3">
        <f t="shared" si="0"/>
        <v>899626.04</v>
      </c>
      <c r="F10">
        <v>52</v>
      </c>
      <c r="G10">
        <v>3187</v>
      </c>
      <c r="H10">
        <v>3186</v>
      </c>
      <c r="I10" s="3" t="str">
        <f>_xlfn.XLOOKUP(A10,targets!A:A,targets!B:B,"no target")</f>
        <v>no target</v>
      </c>
      <c r="J10" s="4" t="str">
        <f t="shared" si="1"/>
        <v/>
      </c>
    </row>
    <row r="11" spans="1:10" x14ac:dyDescent="0.35">
      <c r="A11" t="s">
        <v>18</v>
      </c>
      <c r="B11" s="3">
        <v>1542.54</v>
      </c>
      <c r="C11" s="3">
        <v>281669.71000000002</v>
      </c>
      <c r="D11" s="3">
        <v>488822.89</v>
      </c>
      <c r="E11" s="3">
        <f t="shared" si="0"/>
        <v>772035.14</v>
      </c>
      <c r="F11">
        <v>9</v>
      </c>
      <c r="G11">
        <v>2439</v>
      </c>
      <c r="H11">
        <v>3399</v>
      </c>
      <c r="I11" s="3" t="str">
        <f>_xlfn.XLOOKUP(A11,targets!A:A,targets!B:B,"no target")</f>
        <v>no target</v>
      </c>
      <c r="J11" s="4" t="str">
        <f t="shared" si="1"/>
        <v/>
      </c>
    </row>
    <row r="12" spans="1:10" x14ac:dyDescent="0.35">
      <c r="A12" t="s">
        <v>19</v>
      </c>
      <c r="B12" s="3">
        <v>1236.8800000000001</v>
      </c>
      <c r="C12" s="3">
        <v>439224.39</v>
      </c>
      <c r="D12" s="3">
        <v>263624.96999999997</v>
      </c>
      <c r="E12" s="3">
        <f t="shared" si="0"/>
        <v>704086.24</v>
      </c>
      <c r="F12">
        <v>7</v>
      </c>
      <c r="G12">
        <v>2200</v>
      </c>
      <c r="H12">
        <v>1409</v>
      </c>
      <c r="I12" s="3" t="str">
        <f>_xlfn.XLOOKUP(A12,targets!A:A,targets!B:B,"no target")</f>
        <v>no target</v>
      </c>
      <c r="J12" s="4" t="str">
        <f t="shared" si="1"/>
        <v/>
      </c>
    </row>
    <row r="13" spans="1:10" x14ac:dyDescent="0.35">
      <c r="A13" t="s">
        <v>20</v>
      </c>
      <c r="B13" s="3">
        <v>1752.46</v>
      </c>
      <c r="C13" s="3">
        <v>273825.48</v>
      </c>
      <c r="D13" s="3">
        <v>403028.7</v>
      </c>
      <c r="E13" s="3">
        <f t="shared" si="0"/>
        <v>678606.64</v>
      </c>
      <c r="F13">
        <v>9</v>
      </c>
      <c r="G13">
        <v>1415</v>
      </c>
      <c r="H13">
        <v>2448</v>
      </c>
      <c r="I13" s="3" t="str">
        <f>_xlfn.XLOOKUP(A13,targets!A:A,targets!B:B,"no target")</f>
        <v>no target</v>
      </c>
      <c r="J13" s="4" t="str">
        <f t="shared" si="1"/>
        <v/>
      </c>
    </row>
    <row r="14" spans="1:10" x14ac:dyDescent="0.35">
      <c r="A14" t="s">
        <v>21</v>
      </c>
      <c r="B14" s="3">
        <v>1465.19</v>
      </c>
      <c r="C14" s="3">
        <v>319586.33</v>
      </c>
      <c r="D14" s="3">
        <v>258473.68</v>
      </c>
      <c r="E14" s="3">
        <f t="shared" si="0"/>
        <v>579525.19999999995</v>
      </c>
      <c r="F14">
        <v>5</v>
      </c>
      <c r="G14">
        <v>1969</v>
      </c>
      <c r="H14">
        <v>1531</v>
      </c>
      <c r="I14" s="3" t="str">
        <f>_xlfn.XLOOKUP(A14,targets!A:A,targets!B:B,"no target")</f>
        <v>no target</v>
      </c>
      <c r="J14" s="4" t="str">
        <f t="shared" si="1"/>
        <v/>
      </c>
    </row>
    <row r="15" spans="1:10" x14ac:dyDescent="0.35">
      <c r="A15" t="s">
        <v>22</v>
      </c>
      <c r="B15" s="3">
        <v>4591.53</v>
      </c>
      <c r="C15" s="3">
        <v>353519.64</v>
      </c>
      <c r="D15" s="3">
        <v>198672.12</v>
      </c>
      <c r="E15" s="3">
        <f t="shared" si="0"/>
        <v>556783.29</v>
      </c>
      <c r="F15">
        <v>22</v>
      </c>
      <c r="G15">
        <v>2438</v>
      </c>
      <c r="H15">
        <v>1395</v>
      </c>
      <c r="I15" s="3" t="str">
        <f>_xlfn.XLOOKUP(A15,targets!A:A,targets!B:B,"no target")</f>
        <v>no target</v>
      </c>
      <c r="J15" s="4" t="str">
        <f t="shared" si="1"/>
        <v/>
      </c>
    </row>
    <row r="16" spans="1:10" x14ac:dyDescent="0.35">
      <c r="A16" t="s">
        <v>23</v>
      </c>
      <c r="B16" s="3">
        <v>1517.55</v>
      </c>
      <c r="C16" s="3">
        <v>178695.82</v>
      </c>
      <c r="D16" s="3">
        <v>298106.63</v>
      </c>
      <c r="E16" s="3">
        <f t="shared" si="0"/>
        <v>478320</v>
      </c>
      <c r="F16">
        <v>9</v>
      </c>
      <c r="G16">
        <v>1203</v>
      </c>
      <c r="H16">
        <v>1656</v>
      </c>
      <c r="I16" s="3" t="str">
        <f>_xlfn.XLOOKUP(A16,targets!A:A,targets!B:B,"no target")</f>
        <v>no target</v>
      </c>
      <c r="J16" s="4" t="str">
        <f t="shared" si="1"/>
        <v/>
      </c>
    </row>
    <row r="17" spans="1:10" x14ac:dyDescent="0.35">
      <c r="A17" t="s">
        <v>24</v>
      </c>
      <c r="B17" s="3">
        <v>5315.2</v>
      </c>
      <c r="C17" s="3">
        <v>242347.89</v>
      </c>
      <c r="D17" s="3">
        <v>202917.38</v>
      </c>
      <c r="E17" s="3">
        <f t="shared" si="0"/>
        <v>450580.47000000003</v>
      </c>
      <c r="F17">
        <v>26</v>
      </c>
      <c r="G17">
        <v>1642</v>
      </c>
      <c r="H17">
        <v>1478</v>
      </c>
      <c r="I17" s="3" t="str">
        <f>_xlfn.XLOOKUP(A17,targets!A:A,targets!B:B,"no target")</f>
        <v>no target</v>
      </c>
      <c r="J17" s="4" t="str">
        <f t="shared" si="1"/>
        <v/>
      </c>
    </row>
    <row r="18" spans="1:10" x14ac:dyDescent="0.35">
      <c r="A18" t="s">
        <v>25</v>
      </c>
      <c r="B18" s="3">
        <v>381.79</v>
      </c>
      <c r="C18" s="3">
        <v>176082.05</v>
      </c>
      <c r="D18" s="3">
        <v>216842.18</v>
      </c>
      <c r="E18" s="3">
        <f t="shared" si="0"/>
        <v>393306.02</v>
      </c>
      <c r="F18">
        <v>8</v>
      </c>
      <c r="G18">
        <v>2022</v>
      </c>
      <c r="H18">
        <v>2153</v>
      </c>
      <c r="I18" s="3" t="str">
        <f>_xlfn.XLOOKUP(A18,targets!A:A,targets!B:B,"no target")</f>
        <v>no target</v>
      </c>
      <c r="J18" s="4" t="str">
        <f t="shared" si="1"/>
        <v/>
      </c>
    </row>
    <row r="19" spans="1:10" x14ac:dyDescent="0.35">
      <c r="A19" t="s">
        <v>26</v>
      </c>
      <c r="B19" s="3">
        <v>1587.55</v>
      </c>
      <c r="C19" s="3">
        <v>159199.37</v>
      </c>
      <c r="D19" s="3">
        <v>181286.1</v>
      </c>
      <c r="E19" s="3">
        <f t="shared" si="0"/>
        <v>342073.02</v>
      </c>
      <c r="F19">
        <v>6</v>
      </c>
      <c r="G19">
        <v>619</v>
      </c>
      <c r="H19">
        <v>647</v>
      </c>
      <c r="I19" s="3" t="str">
        <f>_xlfn.XLOOKUP(A19,targets!A:A,targets!B:B,"no target")</f>
        <v>no target</v>
      </c>
      <c r="J19" s="4" t="str">
        <f t="shared" si="1"/>
        <v/>
      </c>
    </row>
    <row r="20" spans="1:10" x14ac:dyDescent="0.35">
      <c r="A20" t="s">
        <v>27</v>
      </c>
      <c r="B20" s="3">
        <v>0</v>
      </c>
      <c r="C20" s="3">
        <v>112473.87</v>
      </c>
      <c r="D20" s="3">
        <v>163678.31</v>
      </c>
      <c r="E20" s="3">
        <f t="shared" si="0"/>
        <v>276152.18</v>
      </c>
      <c r="F20">
        <v>0</v>
      </c>
      <c r="G20">
        <v>910</v>
      </c>
      <c r="H20">
        <v>1389</v>
      </c>
      <c r="I20" s="3" t="str">
        <f>_xlfn.XLOOKUP(A20,targets!A:A,targets!B:B,"no target")</f>
        <v>no target</v>
      </c>
      <c r="J20" s="4" t="str">
        <f t="shared" si="1"/>
        <v/>
      </c>
    </row>
    <row r="21" spans="1:10" x14ac:dyDescent="0.35">
      <c r="A21" t="s">
        <v>28</v>
      </c>
      <c r="B21" s="3">
        <v>775.86</v>
      </c>
      <c r="C21" s="3">
        <v>100213.14</v>
      </c>
      <c r="D21" s="3">
        <v>152187.96</v>
      </c>
      <c r="E21" s="3">
        <f t="shared" si="0"/>
        <v>253176.95999999999</v>
      </c>
      <c r="F21">
        <v>4</v>
      </c>
      <c r="G21">
        <v>691</v>
      </c>
      <c r="H21">
        <v>1011</v>
      </c>
      <c r="I21" s="3" t="str">
        <f>_xlfn.XLOOKUP(A21,targets!A:A,targets!B:B,"no target")</f>
        <v>no target</v>
      </c>
      <c r="J21" s="4" t="str">
        <f t="shared" si="1"/>
        <v/>
      </c>
    </row>
    <row r="22" spans="1:10" x14ac:dyDescent="0.35">
      <c r="A22" t="s">
        <v>29</v>
      </c>
      <c r="B22" s="3">
        <v>0</v>
      </c>
      <c r="C22" s="3">
        <v>164938.63</v>
      </c>
      <c r="D22" s="3">
        <v>67860.800000000003</v>
      </c>
      <c r="E22" s="3">
        <f t="shared" si="0"/>
        <v>232799.43</v>
      </c>
      <c r="F22">
        <v>0</v>
      </c>
      <c r="G22">
        <v>123</v>
      </c>
      <c r="H22">
        <v>58</v>
      </c>
      <c r="I22" s="3" t="str">
        <f>_xlfn.XLOOKUP(A22,targets!A:A,targets!B:B,"no target")</f>
        <v>no target</v>
      </c>
      <c r="J22" s="4" t="str">
        <f t="shared" si="1"/>
        <v/>
      </c>
    </row>
    <row r="23" spans="1:10" x14ac:dyDescent="0.35">
      <c r="A23" t="s">
        <v>30</v>
      </c>
      <c r="B23" s="3">
        <v>95.92</v>
      </c>
      <c r="C23" s="3">
        <v>121146.99</v>
      </c>
      <c r="D23" s="3">
        <v>85281.38</v>
      </c>
      <c r="E23" s="3">
        <f t="shared" si="0"/>
        <v>206524.29</v>
      </c>
      <c r="F23">
        <v>2</v>
      </c>
      <c r="G23">
        <v>812</v>
      </c>
      <c r="H23">
        <v>623</v>
      </c>
      <c r="I23" s="3" t="str">
        <f>_xlfn.XLOOKUP(A23,targets!A:A,targets!B:B,"no target")</f>
        <v>no target</v>
      </c>
      <c r="J23" s="4" t="str">
        <f t="shared" si="1"/>
        <v/>
      </c>
    </row>
    <row r="24" spans="1:10" x14ac:dyDescent="0.35">
      <c r="A24" t="s">
        <v>31</v>
      </c>
      <c r="B24" s="3">
        <v>0</v>
      </c>
      <c r="C24" s="3">
        <v>86669.01</v>
      </c>
      <c r="D24" s="3">
        <v>119352.31</v>
      </c>
      <c r="E24" s="3">
        <f t="shared" si="0"/>
        <v>206021.32</v>
      </c>
      <c r="F24">
        <v>0</v>
      </c>
      <c r="G24">
        <v>247</v>
      </c>
      <c r="H24">
        <v>373</v>
      </c>
      <c r="I24" s="3" t="str">
        <f>_xlfn.XLOOKUP(A24,targets!A:A,targets!B:B,"no target")</f>
        <v>no target</v>
      </c>
      <c r="J24" s="4" t="str">
        <f t="shared" si="1"/>
        <v/>
      </c>
    </row>
    <row r="25" spans="1:10" x14ac:dyDescent="0.35">
      <c r="A25" t="s">
        <v>32</v>
      </c>
      <c r="B25" s="3">
        <v>0</v>
      </c>
      <c r="C25" s="3">
        <v>108084.55</v>
      </c>
      <c r="D25" s="3">
        <v>95646.95</v>
      </c>
      <c r="E25" s="3">
        <f t="shared" si="0"/>
        <v>203731.5</v>
      </c>
      <c r="F25">
        <v>0</v>
      </c>
      <c r="G25">
        <v>303</v>
      </c>
      <c r="H25">
        <v>319</v>
      </c>
      <c r="I25" s="3" t="str">
        <f>_xlfn.XLOOKUP(A25,targets!A:A,targets!B:B,"no target")</f>
        <v>no target</v>
      </c>
      <c r="J25" s="4" t="str">
        <f t="shared" si="1"/>
        <v/>
      </c>
    </row>
    <row r="26" spans="1:10" x14ac:dyDescent="0.35">
      <c r="A26" t="s">
        <v>33</v>
      </c>
      <c r="B26" s="3">
        <v>119.79</v>
      </c>
      <c r="C26" s="3">
        <v>71162.7</v>
      </c>
      <c r="D26" s="3">
        <v>132134.28</v>
      </c>
      <c r="E26" s="3">
        <f t="shared" si="0"/>
        <v>203416.77</v>
      </c>
      <c r="F26">
        <v>1</v>
      </c>
      <c r="G26">
        <v>820</v>
      </c>
      <c r="H26">
        <v>1722</v>
      </c>
      <c r="I26" s="3" t="str">
        <f>_xlfn.XLOOKUP(A26,targets!A:A,targets!B:B,"no target")</f>
        <v>no target</v>
      </c>
      <c r="J26" s="4" t="str">
        <f t="shared" si="1"/>
        <v/>
      </c>
    </row>
    <row r="27" spans="1:10" x14ac:dyDescent="0.35">
      <c r="A27" t="s">
        <v>34</v>
      </c>
      <c r="B27" s="3">
        <v>522.6</v>
      </c>
      <c r="C27" s="3">
        <v>97938.69</v>
      </c>
      <c r="D27" s="3">
        <v>84473.47</v>
      </c>
      <c r="E27" s="3">
        <f t="shared" si="0"/>
        <v>182934.76</v>
      </c>
      <c r="F27">
        <v>8</v>
      </c>
      <c r="G27">
        <v>1021</v>
      </c>
      <c r="H27">
        <v>829</v>
      </c>
      <c r="I27" s="3" t="str">
        <f>_xlfn.XLOOKUP(A27,targets!A:A,targets!B:B,"no target")</f>
        <v>no target</v>
      </c>
      <c r="J27" s="4" t="str">
        <f t="shared" si="1"/>
        <v/>
      </c>
    </row>
    <row r="28" spans="1:10" x14ac:dyDescent="0.35">
      <c r="A28" t="s">
        <v>35</v>
      </c>
      <c r="B28" s="3">
        <v>4089.42</v>
      </c>
      <c r="C28" s="3">
        <v>99055.86</v>
      </c>
      <c r="D28" s="3">
        <v>71494.320000000007</v>
      </c>
      <c r="E28" s="3">
        <f t="shared" si="0"/>
        <v>174639.6</v>
      </c>
      <c r="F28">
        <v>10</v>
      </c>
      <c r="G28">
        <v>661</v>
      </c>
      <c r="H28">
        <v>383</v>
      </c>
      <c r="I28" s="3" t="str">
        <f>_xlfn.XLOOKUP(A28,targets!A:A,targets!B:B,"no target")</f>
        <v>no target</v>
      </c>
      <c r="J28" s="4" t="str">
        <f t="shared" si="1"/>
        <v/>
      </c>
    </row>
    <row r="29" spans="1:10" x14ac:dyDescent="0.35">
      <c r="A29" t="s">
        <v>36</v>
      </c>
      <c r="B29" s="3">
        <v>0</v>
      </c>
      <c r="C29" s="3">
        <v>93436.55</v>
      </c>
      <c r="D29" s="3">
        <v>77067.539999999994</v>
      </c>
      <c r="E29" s="3">
        <f t="shared" si="0"/>
        <v>170504.09</v>
      </c>
      <c r="F29">
        <v>0</v>
      </c>
      <c r="G29">
        <v>563</v>
      </c>
      <c r="H29">
        <v>467</v>
      </c>
      <c r="I29" s="3" t="str">
        <f>_xlfn.XLOOKUP(A29,targets!A:A,targets!B:B,"no target")</f>
        <v>no target</v>
      </c>
      <c r="J29" s="4" t="str">
        <f t="shared" si="1"/>
        <v/>
      </c>
    </row>
    <row r="30" spans="1:10" x14ac:dyDescent="0.35">
      <c r="A30" t="s">
        <v>37</v>
      </c>
      <c r="B30" s="3">
        <v>0</v>
      </c>
      <c r="C30" s="3">
        <v>24013.97</v>
      </c>
      <c r="D30" s="3">
        <v>141165.72</v>
      </c>
      <c r="E30" s="3">
        <f t="shared" si="0"/>
        <v>165179.69</v>
      </c>
      <c r="F30">
        <v>0</v>
      </c>
      <c r="G30">
        <v>104</v>
      </c>
      <c r="H30">
        <v>642</v>
      </c>
      <c r="I30" s="3" t="str">
        <f>_xlfn.XLOOKUP(A30,targets!A:A,targets!B:B,"no target")</f>
        <v>no target</v>
      </c>
      <c r="J30" s="4" t="str">
        <f t="shared" si="1"/>
        <v/>
      </c>
    </row>
    <row r="31" spans="1:10" x14ac:dyDescent="0.35">
      <c r="A31" t="s">
        <v>38</v>
      </c>
      <c r="B31" s="3">
        <v>0</v>
      </c>
      <c r="C31" s="3">
        <v>27183.119999999999</v>
      </c>
      <c r="D31" s="3">
        <v>93872.4</v>
      </c>
      <c r="E31" s="3">
        <f t="shared" si="0"/>
        <v>121055.51999999999</v>
      </c>
      <c r="F31">
        <v>0</v>
      </c>
      <c r="G31">
        <v>86</v>
      </c>
      <c r="H31">
        <v>145</v>
      </c>
      <c r="I31" s="3" t="str">
        <f>_xlfn.XLOOKUP(A31,targets!A:A,targets!B:B,"no target")</f>
        <v>no target</v>
      </c>
      <c r="J31" s="4" t="str">
        <f t="shared" si="1"/>
        <v/>
      </c>
    </row>
    <row r="32" spans="1:10" x14ac:dyDescent="0.35">
      <c r="A32" t="s">
        <v>39</v>
      </c>
      <c r="B32" s="3">
        <v>0</v>
      </c>
      <c r="C32" s="3">
        <v>27562.59</v>
      </c>
      <c r="D32" s="3">
        <v>69271.03</v>
      </c>
      <c r="E32" s="3">
        <f t="shared" si="0"/>
        <v>96833.62</v>
      </c>
      <c r="F32">
        <v>0</v>
      </c>
      <c r="G32">
        <v>111</v>
      </c>
      <c r="H32">
        <v>378</v>
      </c>
      <c r="I32" s="3" t="str">
        <f>_xlfn.XLOOKUP(A32,targets!A:A,targets!B:B,"no target")</f>
        <v>no target</v>
      </c>
      <c r="J32" s="4" t="str">
        <f t="shared" si="1"/>
        <v/>
      </c>
    </row>
    <row r="33" spans="1:10" x14ac:dyDescent="0.35">
      <c r="A33" t="s">
        <v>40</v>
      </c>
      <c r="B33" s="3">
        <v>0</v>
      </c>
      <c r="C33" s="3">
        <v>28530.19</v>
      </c>
      <c r="D33" s="3">
        <v>66241.11</v>
      </c>
      <c r="E33" s="3">
        <f t="shared" si="0"/>
        <v>94771.3</v>
      </c>
      <c r="F33">
        <v>0</v>
      </c>
      <c r="G33">
        <v>240</v>
      </c>
      <c r="H33">
        <v>522</v>
      </c>
      <c r="I33" s="3" t="str">
        <f>_xlfn.XLOOKUP(A33,targets!A:A,targets!B:B,"no target")</f>
        <v>no target</v>
      </c>
      <c r="J33" s="4" t="str">
        <f t="shared" si="1"/>
        <v/>
      </c>
    </row>
    <row r="34" spans="1:10" x14ac:dyDescent="0.35">
      <c r="A34" t="s">
        <v>41</v>
      </c>
      <c r="B34" s="3">
        <v>0</v>
      </c>
      <c r="C34" s="3">
        <v>43783.16</v>
      </c>
      <c r="D34" s="3">
        <v>42774.14</v>
      </c>
      <c r="E34" s="3">
        <f t="shared" si="0"/>
        <v>86557.3</v>
      </c>
      <c r="F34">
        <v>0</v>
      </c>
      <c r="G34">
        <v>207</v>
      </c>
      <c r="H34">
        <v>213</v>
      </c>
      <c r="I34" s="3" t="str">
        <f>_xlfn.XLOOKUP(A34,targets!A:A,targets!B:B,"no target")</f>
        <v>no target</v>
      </c>
      <c r="J34" s="4" t="str">
        <f t="shared" si="1"/>
        <v/>
      </c>
    </row>
    <row r="35" spans="1:10" x14ac:dyDescent="0.35">
      <c r="A35" t="s">
        <v>42</v>
      </c>
      <c r="B35" s="3">
        <v>0</v>
      </c>
      <c r="C35" s="3">
        <v>31111.89</v>
      </c>
      <c r="D35" s="3">
        <v>47262.18</v>
      </c>
      <c r="E35" s="3">
        <f t="shared" si="0"/>
        <v>78374.070000000007</v>
      </c>
      <c r="F35">
        <v>0</v>
      </c>
      <c r="G35">
        <v>48</v>
      </c>
      <c r="H35">
        <v>134</v>
      </c>
      <c r="I35" s="3" t="str">
        <f>_xlfn.XLOOKUP(A35,targets!A:A,targets!B:B,"no target")</f>
        <v>no target</v>
      </c>
      <c r="J35" s="4" t="str">
        <f t="shared" si="1"/>
        <v/>
      </c>
    </row>
    <row r="36" spans="1:10" x14ac:dyDescent="0.35">
      <c r="A36" t="s">
        <v>43</v>
      </c>
      <c r="B36" s="3">
        <v>0</v>
      </c>
      <c r="C36" s="3">
        <v>42886.46</v>
      </c>
      <c r="D36" s="3">
        <v>24186.81</v>
      </c>
      <c r="E36" s="3">
        <f t="shared" si="0"/>
        <v>67073.27</v>
      </c>
      <c r="F36">
        <v>0</v>
      </c>
      <c r="G36">
        <v>249</v>
      </c>
      <c r="H36">
        <v>148</v>
      </c>
      <c r="I36" s="3" t="str">
        <f>_xlfn.XLOOKUP(A36,targets!A:A,targets!B:B,"no target")</f>
        <v>no target</v>
      </c>
      <c r="J36" s="4" t="str">
        <f t="shared" si="1"/>
        <v/>
      </c>
    </row>
    <row r="37" spans="1:10" x14ac:dyDescent="0.35">
      <c r="A37" t="s">
        <v>44</v>
      </c>
      <c r="B37" s="3">
        <v>774.45</v>
      </c>
      <c r="C37" s="3">
        <v>32673.62</v>
      </c>
      <c r="D37" s="3">
        <v>28965.98</v>
      </c>
      <c r="E37" s="3">
        <f t="shared" ref="E37:E68" si="2">SUM(B37:D37)</f>
        <v>62414.05</v>
      </c>
      <c r="F37">
        <v>5</v>
      </c>
      <c r="G37">
        <v>124</v>
      </c>
      <c r="H37">
        <v>85</v>
      </c>
      <c r="I37" s="3" t="str">
        <f>_xlfn.XLOOKUP(A37,targets!A:A,targets!B:B,"no target")</f>
        <v>no target</v>
      </c>
      <c r="J37" s="4" t="str">
        <f t="shared" ref="J37:J68" si="3">IF(ISNUMBER(I37),E37/I37,"")</f>
        <v/>
      </c>
    </row>
    <row r="38" spans="1:10" x14ac:dyDescent="0.35">
      <c r="A38" t="s">
        <v>45</v>
      </c>
      <c r="B38" s="3">
        <v>1904.91</v>
      </c>
      <c r="C38" s="3">
        <v>30861.919999999998</v>
      </c>
      <c r="D38" s="3">
        <v>28669.74</v>
      </c>
      <c r="E38" s="3">
        <f t="shared" si="2"/>
        <v>61436.57</v>
      </c>
      <c r="F38">
        <v>5</v>
      </c>
      <c r="G38">
        <v>113</v>
      </c>
      <c r="H38">
        <v>133</v>
      </c>
      <c r="I38" s="3" t="str">
        <f>_xlfn.XLOOKUP(A38,targets!A:A,targets!B:B,"no target")</f>
        <v>no target</v>
      </c>
      <c r="J38" s="4" t="str">
        <f t="shared" si="3"/>
        <v/>
      </c>
    </row>
    <row r="39" spans="1:10" x14ac:dyDescent="0.35">
      <c r="A39" t="s">
        <v>46</v>
      </c>
      <c r="B39" s="3">
        <v>0</v>
      </c>
      <c r="C39" s="3">
        <v>23376.55</v>
      </c>
      <c r="D39" s="3">
        <v>34529.21</v>
      </c>
      <c r="E39" s="3">
        <f t="shared" si="2"/>
        <v>57905.759999999995</v>
      </c>
      <c r="F39">
        <v>0</v>
      </c>
      <c r="G39">
        <v>106</v>
      </c>
      <c r="H39">
        <v>140</v>
      </c>
      <c r="I39" s="3" t="str">
        <f>_xlfn.XLOOKUP(A39,targets!A:A,targets!B:B,"no target")</f>
        <v>no target</v>
      </c>
      <c r="J39" s="4" t="str">
        <f t="shared" si="3"/>
        <v/>
      </c>
    </row>
    <row r="40" spans="1:10" x14ac:dyDescent="0.35">
      <c r="A40" t="s">
        <v>47</v>
      </c>
      <c r="B40" s="3">
        <v>183.03</v>
      </c>
      <c r="C40" s="3">
        <v>19929.400000000001</v>
      </c>
      <c r="D40" s="3">
        <v>36258.83</v>
      </c>
      <c r="E40" s="3">
        <f t="shared" si="2"/>
        <v>56371.26</v>
      </c>
      <c r="F40">
        <v>2</v>
      </c>
      <c r="G40">
        <v>160</v>
      </c>
      <c r="H40">
        <v>187</v>
      </c>
      <c r="I40" s="3" t="str">
        <f>_xlfn.XLOOKUP(A40,targets!A:A,targets!B:B,"no target")</f>
        <v>no target</v>
      </c>
      <c r="J40" s="4" t="str">
        <f t="shared" si="3"/>
        <v/>
      </c>
    </row>
    <row r="41" spans="1:10" x14ac:dyDescent="0.35">
      <c r="A41" t="s">
        <v>48</v>
      </c>
      <c r="B41" s="3">
        <v>144.54</v>
      </c>
      <c r="C41" s="3">
        <v>22435.85</v>
      </c>
      <c r="D41" s="3">
        <v>32078.3</v>
      </c>
      <c r="E41" s="3">
        <f t="shared" si="2"/>
        <v>54658.69</v>
      </c>
      <c r="F41">
        <v>1</v>
      </c>
      <c r="G41">
        <v>217</v>
      </c>
      <c r="H41">
        <v>287</v>
      </c>
      <c r="I41" s="3" t="str">
        <f>_xlfn.XLOOKUP(A41,targets!A:A,targets!B:B,"no target")</f>
        <v>no target</v>
      </c>
      <c r="J41" s="4" t="str">
        <f t="shared" si="3"/>
        <v/>
      </c>
    </row>
    <row r="42" spans="1:10" x14ac:dyDescent="0.35">
      <c r="A42" t="s">
        <v>49</v>
      </c>
      <c r="B42" s="3">
        <v>0</v>
      </c>
      <c r="C42" s="3">
        <v>895.98</v>
      </c>
      <c r="D42" s="3">
        <v>49297.59</v>
      </c>
      <c r="E42" s="3">
        <f t="shared" si="2"/>
        <v>50193.57</v>
      </c>
      <c r="F42">
        <v>0</v>
      </c>
      <c r="G42">
        <v>4</v>
      </c>
      <c r="H42">
        <v>71</v>
      </c>
      <c r="I42" s="3" t="str">
        <f>_xlfn.XLOOKUP(A42,targets!A:A,targets!B:B,"no target")</f>
        <v>no target</v>
      </c>
      <c r="J42" s="4" t="str">
        <f t="shared" si="3"/>
        <v/>
      </c>
    </row>
    <row r="43" spans="1:10" x14ac:dyDescent="0.35">
      <c r="A43" t="s">
        <v>50</v>
      </c>
      <c r="B43" s="3">
        <v>433.56</v>
      </c>
      <c r="C43" s="3">
        <v>9787.89</v>
      </c>
      <c r="D43" s="3">
        <v>37332.839999999997</v>
      </c>
      <c r="E43" s="3">
        <f t="shared" si="2"/>
        <v>47554.289999999994</v>
      </c>
      <c r="F43">
        <v>3</v>
      </c>
      <c r="G43">
        <v>35</v>
      </c>
      <c r="H43">
        <v>197</v>
      </c>
      <c r="I43" s="3" t="str">
        <f>_xlfn.XLOOKUP(A43,targets!A:A,targets!B:B,"no target")</f>
        <v>no target</v>
      </c>
      <c r="J43" s="4" t="str">
        <f t="shared" si="3"/>
        <v/>
      </c>
    </row>
    <row r="44" spans="1:10" x14ac:dyDescent="0.35">
      <c r="A44" t="s">
        <v>51</v>
      </c>
      <c r="B44" s="3">
        <v>0</v>
      </c>
      <c r="C44" s="3">
        <v>4795.96</v>
      </c>
      <c r="D44" s="3">
        <v>42715.22</v>
      </c>
      <c r="E44" s="3">
        <f t="shared" si="2"/>
        <v>47511.18</v>
      </c>
      <c r="F44">
        <v>0</v>
      </c>
      <c r="G44">
        <v>17</v>
      </c>
      <c r="H44">
        <v>226</v>
      </c>
      <c r="I44" s="3" t="str">
        <f>_xlfn.XLOOKUP(A44,targets!A:A,targets!B:B,"no target")</f>
        <v>no target</v>
      </c>
      <c r="J44" s="4" t="str">
        <f t="shared" si="3"/>
        <v/>
      </c>
    </row>
    <row r="45" spans="1:10" x14ac:dyDescent="0.35">
      <c r="A45" t="s">
        <v>52</v>
      </c>
      <c r="B45" s="3">
        <v>0</v>
      </c>
      <c r="C45" s="3">
        <v>9054.32</v>
      </c>
      <c r="D45" s="3">
        <v>34366.269999999997</v>
      </c>
      <c r="E45" s="3">
        <f t="shared" si="2"/>
        <v>43420.59</v>
      </c>
      <c r="F45">
        <v>0</v>
      </c>
      <c r="G45">
        <v>37</v>
      </c>
      <c r="H45">
        <v>128</v>
      </c>
      <c r="I45" s="3" t="str">
        <f>_xlfn.XLOOKUP(A45,targets!A:A,targets!B:B,"no target")</f>
        <v>no target</v>
      </c>
      <c r="J45" s="4" t="str">
        <f t="shared" si="3"/>
        <v/>
      </c>
    </row>
    <row r="46" spans="1:10" x14ac:dyDescent="0.35">
      <c r="A46" t="s">
        <v>53</v>
      </c>
      <c r="B46" s="3">
        <v>96.23</v>
      </c>
      <c r="C46" s="3">
        <v>10858.46</v>
      </c>
      <c r="D46" s="3">
        <v>25542.09</v>
      </c>
      <c r="E46" s="3">
        <f t="shared" si="2"/>
        <v>36496.78</v>
      </c>
      <c r="F46">
        <v>1</v>
      </c>
      <c r="G46">
        <v>108</v>
      </c>
      <c r="H46">
        <v>340</v>
      </c>
      <c r="I46" s="3" t="str">
        <f>_xlfn.XLOOKUP(A46,targets!A:A,targets!B:B,"no target")</f>
        <v>no target</v>
      </c>
      <c r="J46" s="4" t="str">
        <f t="shared" si="3"/>
        <v/>
      </c>
    </row>
    <row r="47" spans="1:10" x14ac:dyDescent="0.35">
      <c r="A47" t="s">
        <v>54</v>
      </c>
      <c r="B47" s="3">
        <v>1579.18</v>
      </c>
      <c r="C47" s="3">
        <v>22751.34</v>
      </c>
      <c r="D47" s="3">
        <v>9364.01</v>
      </c>
      <c r="E47" s="3">
        <f t="shared" si="2"/>
        <v>33694.53</v>
      </c>
      <c r="F47">
        <v>7</v>
      </c>
      <c r="G47">
        <v>177</v>
      </c>
      <c r="H47">
        <v>95</v>
      </c>
      <c r="I47" s="3" t="str">
        <f>_xlfn.XLOOKUP(A47,targets!A:A,targets!B:B,"no target")</f>
        <v>no target</v>
      </c>
      <c r="J47" s="4" t="str">
        <f t="shared" si="3"/>
        <v/>
      </c>
    </row>
    <row r="48" spans="1:10" x14ac:dyDescent="0.35">
      <c r="A48" t="s">
        <v>55</v>
      </c>
      <c r="B48" s="3">
        <v>0</v>
      </c>
      <c r="C48" s="3">
        <v>10361.379999999999</v>
      </c>
      <c r="D48" s="3">
        <v>20420.509999999998</v>
      </c>
      <c r="E48" s="3">
        <f t="shared" si="2"/>
        <v>30781.89</v>
      </c>
      <c r="F48">
        <v>0</v>
      </c>
      <c r="G48">
        <v>63</v>
      </c>
      <c r="H48">
        <v>129</v>
      </c>
      <c r="I48" s="3" t="str">
        <f>_xlfn.XLOOKUP(A48,targets!A:A,targets!B:B,"no target")</f>
        <v>no target</v>
      </c>
      <c r="J48" s="4" t="str">
        <f t="shared" si="3"/>
        <v/>
      </c>
    </row>
    <row r="49" spans="1:10" x14ac:dyDescent="0.35">
      <c r="A49" t="s">
        <v>56</v>
      </c>
      <c r="B49" s="3">
        <v>40.950000000000003</v>
      </c>
      <c r="C49" s="3">
        <v>18089.04</v>
      </c>
      <c r="D49" s="3">
        <v>10118.42</v>
      </c>
      <c r="E49" s="3">
        <f t="shared" si="2"/>
        <v>28248.410000000003</v>
      </c>
      <c r="F49">
        <v>1</v>
      </c>
      <c r="G49">
        <v>169</v>
      </c>
      <c r="H49">
        <v>68</v>
      </c>
      <c r="I49" s="3" t="str">
        <f>_xlfn.XLOOKUP(A49,targets!A:A,targets!B:B,"no target")</f>
        <v>no target</v>
      </c>
      <c r="J49" s="4" t="str">
        <f t="shared" si="3"/>
        <v/>
      </c>
    </row>
    <row r="50" spans="1:10" x14ac:dyDescent="0.35">
      <c r="A50" t="s">
        <v>57</v>
      </c>
      <c r="B50" s="3">
        <v>0</v>
      </c>
      <c r="C50" s="3">
        <v>10300.18</v>
      </c>
      <c r="D50" s="3">
        <v>17896.03</v>
      </c>
      <c r="E50" s="3">
        <f t="shared" si="2"/>
        <v>28196.21</v>
      </c>
      <c r="F50">
        <v>0</v>
      </c>
      <c r="G50">
        <v>36</v>
      </c>
      <c r="H50">
        <v>165</v>
      </c>
      <c r="I50" s="3" t="str">
        <f>_xlfn.XLOOKUP(A50,targets!A:A,targets!B:B,"no target")</f>
        <v>no target</v>
      </c>
      <c r="J50" s="4" t="str">
        <f t="shared" si="3"/>
        <v/>
      </c>
    </row>
    <row r="51" spans="1:10" x14ac:dyDescent="0.35">
      <c r="A51" t="s">
        <v>58</v>
      </c>
      <c r="B51" s="3">
        <v>0</v>
      </c>
      <c r="C51" s="3">
        <v>6266.69</v>
      </c>
      <c r="D51" s="3">
        <v>21834.06</v>
      </c>
      <c r="E51" s="3">
        <f t="shared" si="2"/>
        <v>28100.75</v>
      </c>
      <c r="F51">
        <v>0</v>
      </c>
      <c r="G51">
        <v>74</v>
      </c>
      <c r="H51">
        <v>222</v>
      </c>
      <c r="I51" s="3" t="str">
        <f>_xlfn.XLOOKUP(A51,targets!A:A,targets!B:B,"no target")</f>
        <v>no target</v>
      </c>
      <c r="J51" s="4" t="str">
        <f t="shared" si="3"/>
        <v/>
      </c>
    </row>
    <row r="52" spans="1:10" x14ac:dyDescent="0.35">
      <c r="A52" t="s">
        <v>59</v>
      </c>
      <c r="B52" s="3">
        <v>0</v>
      </c>
      <c r="C52" s="3">
        <v>5603.96</v>
      </c>
      <c r="D52" s="3">
        <v>22413.09</v>
      </c>
      <c r="E52" s="3">
        <f t="shared" si="2"/>
        <v>28017.05</v>
      </c>
      <c r="F52">
        <v>0</v>
      </c>
      <c r="G52">
        <v>35</v>
      </c>
      <c r="H52">
        <v>105</v>
      </c>
      <c r="I52" s="3" t="str">
        <f>_xlfn.XLOOKUP(A52,targets!A:A,targets!B:B,"no target")</f>
        <v>no target</v>
      </c>
      <c r="J52" s="4" t="str">
        <f t="shared" si="3"/>
        <v/>
      </c>
    </row>
    <row r="53" spans="1:10" x14ac:dyDescent="0.35">
      <c r="A53" t="s">
        <v>60</v>
      </c>
      <c r="B53" s="3">
        <v>0</v>
      </c>
      <c r="C53" s="3">
        <v>10668.58</v>
      </c>
      <c r="D53" s="3">
        <v>13992.43</v>
      </c>
      <c r="E53" s="3">
        <f t="shared" si="2"/>
        <v>24661.010000000002</v>
      </c>
      <c r="F53">
        <v>0</v>
      </c>
      <c r="G53">
        <v>40</v>
      </c>
      <c r="H53">
        <v>55</v>
      </c>
      <c r="I53" s="3" t="str">
        <f>_xlfn.XLOOKUP(A53,targets!A:A,targets!B:B,"no target")</f>
        <v>no target</v>
      </c>
      <c r="J53" s="4" t="str">
        <f t="shared" si="3"/>
        <v/>
      </c>
    </row>
    <row r="54" spans="1:10" x14ac:dyDescent="0.35">
      <c r="A54" t="s">
        <v>61</v>
      </c>
      <c r="B54" s="3">
        <v>299.83999999999997</v>
      </c>
      <c r="C54" s="3">
        <v>6508.85</v>
      </c>
      <c r="D54" s="3">
        <v>16570.43</v>
      </c>
      <c r="E54" s="3">
        <f t="shared" si="2"/>
        <v>23379.120000000003</v>
      </c>
      <c r="F54">
        <v>1</v>
      </c>
      <c r="G54">
        <v>43</v>
      </c>
      <c r="H54">
        <v>216</v>
      </c>
      <c r="I54" s="3" t="str">
        <f>_xlfn.XLOOKUP(A54,targets!A:A,targets!B:B,"no target")</f>
        <v>no target</v>
      </c>
      <c r="J54" s="4" t="str">
        <f t="shared" si="3"/>
        <v/>
      </c>
    </row>
    <row r="55" spans="1:10" x14ac:dyDescent="0.35">
      <c r="A55" t="s">
        <v>62</v>
      </c>
      <c r="B55" s="3">
        <v>0</v>
      </c>
      <c r="C55" s="3">
        <v>9533.51</v>
      </c>
      <c r="D55" s="3">
        <v>10074.59</v>
      </c>
      <c r="E55" s="3">
        <f t="shared" si="2"/>
        <v>19608.099999999999</v>
      </c>
      <c r="F55">
        <v>0</v>
      </c>
      <c r="G55">
        <v>107</v>
      </c>
      <c r="H55">
        <v>118</v>
      </c>
      <c r="I55" s="3" t="str">
        <f>_xlfn.XLOOKUP(A55,targets!A:A,targets!B:B,"no target")</f>
        <v>no target</v>
      </c>
      <c r="J55" s="4" t="str">
        <f t="shared" si="3"/>
        <v/>
      </c>
    </row>
    <row r="56" spans="1:10" x14ac:dyDescent="0.35">
      <c r="A56" t="s">
        <v>63</v>
      </c>
      <c r="B56" s="3">
        <v>0</v>
      </c>
      <c r="C56" s="3">
        <v>4485.97</v>
      </c>
      <c r="D56" s="3">
        <v>13448.2</v>
      </c>
      <c r="E56" s="3">
        <f t="shared" si="2"/>
        <v>17934.170000000002</v>
      </c>
      <c r="F56">
        <v>0</v>
      </c>
      <c r="G56">
        <v>21</v>
      </c>
      <c r="H56">
        <v>76</v>
      </c>
      <c r="I56" s="3" t="str">
        <f>_xlfn.XLOOKUP(A56,targets!A:A,targets!B:B,"no target")</f>
        <v>no target</v>
      </c>
      <c r="J56" s="4" t="str">
        <f t="shared" si="3"/>
        <v/>
      </c>
    </row>
    <row r="57" spans="1:10" x14ac:dyDescent="0.35">
      <c r="A57" t="s">
        <v>64</v>
      </c>
      <c r="B57" s="3">
        <v>35.86</v>
      </c>
      <c r="C57" s="3">
        <v>10047.18</v>
      </c>
      <c r="D57" s="3">
        <v>2810.41</v>
      </c>
      <c r="E57" s="3">
        <f t="shared" si="2"/>
        <v>12893.45</v>
      </c>
      <c r="F57">
        <v>1</v>
      </c>
      <c r="G57">
        <v>86</v>
      </c>
      <c r="H57">
        <v>24</v>
      </c>
      <c r="I57" s="3" t="str">
        <f>_xlfn.XLOOKUP(A57,targets!A:A,targets!B:B,"no target")</f>
        <v>no target</v>
      </c>
      <c r="J57" s="4" t="str">
        <f t="shared" si="3"/>
        <v/>
      </c>
    </row>
    <row r="58" spans="1:10" x14ac:dyDescent="0.35">
      <c r="A58" t="s">
        <v>65</v>
      </c>
      <c r="B58" s="3">
        <v>0</v>
      </c>
      <c r="C58" s="3">
        <v>3930.69</v>
      </c>
      <c r="D58" s="3">
        <v>8078.5</v>
      </c>
      <c r="E58" s="3">
        <f t="shared" si="2"/>
        <v>12009.19</v>
      </c>
      <c r="F58">
        <v>0</v>
      </c>
      <c r="G58">
        <v>49</v>
      </c>
      <c r="H58">
        <v>78</v>
      </c>
      <c r="I58" s="3" t="str">
        <f>_xlfn.XLOOKUP(A58,targets!A:A,targets!B:B,"no target")</f>
        <v>no target</v>
      </c>
      <c r="J58" s="4" t="str">
        <f t="shared" si="3"/>
        <v/>
      </c>
    </row>
    <row r="59" spans="1:10" x14ac:dyDescent="0.35">
      <c r="A59" t="s">
        <v>66</v>
      </c>
      <c r="B59" s="3">
        <v>0</v>
      </c>
      <c r="C59" s="3">
        <v>8341.5300000000007</v>
      </c>
      <c r="D59" s="3">
        <v>3116.21</v>
      </c>
      <c r="E59" s="3">
        <f t="shared" si="2"/>
        <v>11457.740000000002</v>
      </c>
      <c r="F59">
        <v>0</v>
      </c>
      <c r="G59">
        <v>83</v>
      </c>
      <c r="H59">
        <v>38</v>
      </c>
      <c r="I59" s="3" t="str">
        <f>_xlfn.XLOOKUP(A59,targets!A:A,targets!B:B,"no target")</f>
        <v>no target</v>
      </c>
      <c r="J59" s="4" t="str">
        <f t="shared" si="3"/>
        <v/>
      </c>
    </row>
    <row r="60" spans="1:10" x14ac:dyDescent="0.35">
      <c r="A60" t="s">
        <v>67</v>
      </c>
      <c r="B60" s="3">
        <v>0</v>
      </c>
      <c r="C60" s="3">
        <v>7212.78</v>
      </c>
      <c r="D60" s="3">
        <v>1541.83</v>
      </c>
      <c r="E60" s="3">
        <f t="shared" si="2"/>
        <v>8754.61</v>
      </c>
      <c r="F60">
        <v>0</v>
      </c>
      <c r="G60">
        <v>59</v>
      </c>
      <c r="H60">
        <v>20</v>
      </c>
      <c r="I60" s="3" t="str">
        <f>_xlfn.XLOOKUP(A60,targets!A:A,targets!B:B,"no target")</f>
        <v>no target</v>
      </c>
      <c r="J60" s="4" t="str">
        <f t="shared" si="3"/>
        <v/>
      </c>
    </row>
    <row r="61" spans="1:10" x14ac:dyDescent="0.35">
      <c r="A61" t="s">
        <v>68</v>
      </c>
      <c r="B61" s="3">
        <v>0</v>
      </c>
      <c r="C61" s="3">
        <v>935.95</v>
      </c>
      <c r="D61" s="3">
        <v>7253.71</v>
      </c>
      <c r="E61" s="3">
        <f t="shared" si="2"/>
        <v>8189.66</v>
      </c>
      <c r="F61">
        <v>0</v>
      </c>
      <c r="G61">
        <v>8</v>
      </c>
      <c r="H61">
        <v>57</v>
      </c>
      <c r="I61" s="3" t="str">
        <f>_xlfn.XLOOKUP(A61,targets!A:A,targets!B:B,"no target")</f>
        <v>no target</v>
      </c>
      <c r="J61" s="4" t="str">
        <f t="shared" si="3"/>
        <v/>
      </c>
    </row>
    <row r="62" spans="1:10" x14ac:dyDescent="0.35">
      <c r="A62" t="s">
        <v>69</v>
      </c>
      <c r="B62" s="3">
        <v>0</v>
      </c>
      <c r="C62" s="3">
        <v>1730.28</v>
      </c>
      <c r="D62" s="3">
        <v>4994.58</v>
      </c>
      <c r="E62" s="3">
        <f t="shared" si="2"/>
        <v>6724.86</v>
      </c>
      <c r="F62">
        <v>0</v>
      </c>
      <c r="G62">
        <v>11</v>
      </c>
      <c r="H62">
        <v>27</v>
      </c>
      <c r="I62" s="3" t="str">
        <f>_xlfn.XLOOKUP(A62,targets!A:A,targets!B:B,"no target")</f>
        <v>no target</v>
      </c>
      <c r="J62" s="4" t="str">
        <f t="shared" si="3"/>
        <v/>
      </c>
    </row>
    <row r="63" spans="1:10" x14ac:dyDescent="0.35">
      <c r="A63" t="s">
        <v>70</v>
      </c>
      <c r="B63" s="3">
        <v>0</v>
      </c>
      <c r="C63" s="3">
        <v>3309.9</v>
      </c>
      <c r="D63" s="3">
        <v>2688.64</v>
      </c>
      <c r="E63" s="3">
        <f t="shared" si="2"/>
        <v>5998.54</v>
      </c>
      <c r="F63">
        <v>0</v>
      </c>
      <c r="G63">
        <v>18</v>
      </c>
      <c r="H63">
        <v>20</v>
      </c>
      <c r="I63" s="3" t="str">
        <f>_xlfn.XLOOKUP(A63,targets!A:A,targets!B:B,"no target")</f>
        <v>no target</v>
      </c>
      <c r="J63" s="4" t="str">
        <f t="shared" si="3"/>
        <v/>
      </c>
    </row>
    <row r="64" spans="1:10" x14ac:dyDescent="0.35">
      <c r="A64" t="s">
        <v>71</v>
      </c>
      <c r="B64" s="3">
        <v>0</v>
      </c>
      <c r="C64" s="3">
        <v>4129.5200000000004</v>
      </c>
      <c r="D64" s="3">
        <v>1674.85</v>
      </c>
      <c r="E64" s="3">
        <f t="shared" si="2"/>
        <v>5804.3700000000008</v>
      </c>
      <c r="F64">
        <v>0</v>
      </c>
      <c r="G64">
        <v>35</v>
      </c>
      <c r="H64">
        <v>22</v>
      </c>
      <c r="I64" s="3" t="str">
        <f>_xlfn.XLOOKUP(A64,targets!A:A,targets!B:B,"no target")</f>
        <v>no target</v>
      </c>
      <c r="J64" s="4" t="str">
        <f t="shared" si="3"/>
        <v/>
      </c>
    </row>
    <row r="65" spans="1:10" x14ac:dyDescent="0.35">
      <c r="A65" t="s">
        <v>72</v>
      </c>
      <c r="B65" s="3">
        <v>0</v>
      </c>
      <c r="C65" s="3">
        <v>1318.99</v>
      </c>
      <c r="D65" s="3">
        <v>4090.71</v>
      </c>
      <c r="E65" s="3">
        <f t="shared" si="2"/>
        <v>5409.7</v>
      </c>
      <c r="F65">
        <v>0</v>
      </c>
      <c r="G65">
        <v>13</v>
      </c>
      <c r="H65">
        <v>40</v>
      </c>
      <c r="I65" s="3" t="str">
        <f>_xlfn.XLOOKUP(A65,targets!A:A,targets!B:B,"no target")</f>
        <v>no target</v>
      </c>
      <c r="J65" s="4" t="str">
        <f t="shared" si="3"/>
        <v/>
      </c>
    </row>
    <row r="66" spans="1:10" x14ac:dyDescent="0.35">
      <c r="A66" t="s">
        <v>73</v>
      </c>
      <c r="B66" s="3">
        <v>0</v>
      </c>
      <c r="C66" s="3">
        <v>2034.74</v>
      </c>
      <c r="D66" s="3">
        <v>3278.41</v>
      </c>
      <c r="E66" s="3">
        <f t="shared" si="2"/>
        <v>5313.15</v>
      </c>
      <c r="F66">
        <v>0</v>
      </c>
      <c r="G66">
        <v>10</v>
      </c>
      <c r="H66">
        <v>29</v>
      </c>
      <c r="I66" s="3" t="str">
        <f>_xlfn.XLOOKUP(A66,targets!A:A,targets!B:B,"no target")</f>
        <v>no target</v>
      </c>
      <c r="J66" s="4" t="str">
        <f t="shared" si="3"/>
        <v/>
      </c>
    </row>
    <row r="67" spans="1:10" x14ac:dyDescent="0.35">
      <c r="A67" t="s">
        <v>74</v>
      </c>
      <c r="B67" s="3">
        <v>0</v>
      </c>
      <c r="C67" s="3">
        <v>0</v>
      </c>
      <c r="D67" s="3">
        <v>4228.05</v>
      </c>
      <c r="E67" s="3">
        <f t="shared" si="2"/>
        <v>4228.05</v>
      </c>
      <c r="F67">
        <v>0</v>
      </c>
      <c r="G67">
        <v>0</v>
      </c>
      <c r="H67">
        <v>13</v>
      </c>
      <c r="I67" s="3" t="str">
        <f>_xlfn.XLOOKUP(A67,targets!A:A,targets!B:B,"no target")</f>
        <v>no target</v>
      </c>
      <c r="J67" s="4" t="str">
        <f t="shared" si="3"/>
        <v/>
      </c>
    </row>
    <row r="68" spans="1:10" x14ac:dyDescent="0.35">
      <c r="A68" t="s">
        <v>75</v>
      </c>
      <c r="B68" s="3">
        <v>69.63</v>
      </c>
      <c r="C68" s="3">
        <v>2572.39</v>
      </c>
      <c r="D68" s="3">
        <v>783.37</v>
      </c>
      <c r="E68" s="3">
        <f t="shared" si="2"/>
        <v>3425.39</v>
      </c>
      <c r="F68">
        <v>1</v>
      </c>
      <c r="G68">
        <v>30</v>
      </c>
      <c r="H68">
        <v>8</v>
      </c>
      <c r="I68" s="3" t="str">
        <f>_xlfn.XLOOKUP(A68,targets!A:A,targets!B:B,"no target")</f>
        <v>no target</v>
      </c>
      <c r="J68" s="4" t="str">
        <f t="shared" si="3"/>
        <v/>
      </c>
    </row>
    <row r="69" spans="1:10" x14ac:dyDescent="0.35">
      <c r="A69" t="s">
        <v>76</v>
      </c>
      <c r="B69" s="3">
        <v>0</v>
      </c>
      <c r="C69" s="3">
        <v>2266.4499999999998</v>
      </c>
      <c r="D69" s="3">
        <v>431.19</v>
      </c>
      <c r="E69" s="3">
        <f t="shared" ref="E69:E100" si="4">SUM(B69:D69)</f>
        <v>2697.64</v>
      </c>
      <c r="F69">
        <v>0</v>
      </c>
      <c r="G69">
        <v>22</v>
      </c>
      <c r="H69">
        <v>5</v>
      </c>
      <c r="I69" s="3" t="str">
        <f>_xlfn.XLOOKUP(A69,targets!A:A,targets!B:B,"no target")</f>
        <v>no target</v>
      </c>
      <c r="J69" s="4" t="str">
        <f t="shared" ref="J69:J100" si="5">IF(ISNUMBER(I69),E69/I69,"")</f>
        <v/>
      </c>
    </row>
    <row r="70" spans="1:10" x14ac:dyDescent="0.35">
      <c r="A70" t="s">
        <v>77</v>
      </c>
      <c r="B70" s="3">
        <v>0</v>
      </c>
      <c r="C70" s="3">
        <v>1497.69</v>
      </c>
      <c r="D70" s="3">
        <v>890.85</v>
      </c>
      <c r="E70" s="3">
        <f t="shared" si="4"/>
        <v>2388.54</v>
      </c>
      <c r="F70">
        <v>0</v>
      </c>
      <c r="G70">
        <v>10</v>
      </c>
      <c r="H70">
        <v>3</v>
      </c>
      <c r="I70" s="3" t="str">
        <f>_xlfn.XLOOKUP(A70,targets!A:A,targets!B:B,"no target")</f>
        <v>no target</v>
      </c>
      <c r="J70" s="4" t="str">
        <f t="shared" si="5"/>
        <v/>
      </c>
    </row>
    <row r="71" spans="1:10" x14ac:dyDescent="0.35">
      <c r="A71" t="s">
        <v>78</v>
      </c>
      <c r="B71" s="3">
        <v>0</v>
      </c>
      <c r="C71" s="3">
        <v>175.22</v>
      </c>
      <c r="D71" s="3">
        <v>2008.92</v>
      </c>
      <c r="E71" s="3">
        <f t="shared" si="4"/>
        <v>2184.14</v>
      </c>
      <c r="F71">
        <v>0</v>
      </c>
      <c r="G71">
        <v>2</v>
      </c>
      <c r="H71">
        <v>21</v>
      </c>
      <c r="I71" s="3" t="str">
        <f>_xlfn.XLOOKUP(A71,targets!A:A,targets!B:B,"no target")</f>
        <v>no target</v>
      </c>
      <c r="J71" s="4" t="str">
        <f t="shared" si="5"/>
        <v/>
      </c>
    </row>
    <row r="72" spans="1:10" x14ac:dyDescent="0.35">
      <c r="A72" t="s">
        <v>79</v>
      </c>
      <c r="B72" s="3">
        <v>150.99</v>
      </c>
      <c r="C72" s="3">
        <v>99.7</v>
      </c>
      <c r="D72" s="3">
        <v>1850.56</v>
      </c>
      <c r="E72" s="3">
        <f t="shared" si="4"/>
        <v>2101.25</v>
      </c>
      <c r="F72">
        <v>1</v>
      </c>
      <c r="G72">
        <v>1</v>
      </c>
      <c r="H72">
        <v>24</v>
      </c>
      <c r="I72" s="3" t="str">
        <f>_xlfn.XLOOKUP(A72,targets!A:A,targets!B:B,"no target")</f>
        <v>no target</v>
      </c>
      <c r="J72" s="4" t="str">
        <f t="shared" si="5"/>
        <v/>
      </c>
    </row>
    <row r="73" spans="1:10" x14ac:dyDescent="0.35">
      <c r="A73" t="s">
        <v>80</v>
      </c>
      <c r="B73" s="3">
        <v>0</v>
      </c>
      <c r="C73" s="3">
        <v>382.27</v>
      </c>
      <c r="D73" s="3">
        <v>1216.6400000000001</v>
      </c>
      <c r="E73" s="3">
        <f t="shared" si="4"/>
        <v>1598.91</v>
      </c>
      <c r="F73">
        <v>0</v>
      </c>
      <c r="G73">
        <v>8</v>
      </c>
      <c r="H73">
        <v>21</v>
      </c>
      <c r="I73" s="3" t="str">
        <f>_xlfn.XLOOKUP(A73,targets!A:A,targets!B:B,"no target")</f>
        <v>no target</v>
      </c>
      <c r="J73" s="4" t="str">
        <f t="shared" si="5"/>
        <v/>
      </c>
    </row>
    <row r="74" spans="1:10" x14ac:dyDescent="0.35">
      <c r="A74" t="s">
        <v>81</v>
      </c>
      <c r="B74" s="3">
        <v>0</v>
      </c>
      <c r="C74" s="3">
        <v>584.05999999999995</v>
      </c>
      <c r="D74" s="3">
        <v>846.04</v>
      </c>
      <c r="E74" s="3">
        <f t="shared" si="4"/>
        <v>1430.1</v>
      </c>
      <c r="F74">
        <v>0</v>
      </c>
      <c r="G74">
        <v>4</v>
      </c>
      <c r="H74">
        <v>3</v>
      </c>
      <c r="I74" s="3" t="str">
        <f>_xlfn.XLOOKUP(A74,targets!A:A,targets!B:B,"no target")</f>
        <v>no target</v>
      </c>
      <c r="J74" s="4" t="str">
        <f t="shared" si="5"/>
        <v/>
      </c>
    </row>
    <row r="75" spans="1:10" x14ac:dyDescent="0.35">
      <c r="A75" t="s">
        <v>82</v>
      </c>
      <c r="B75" s="3">
        <v>0</v>
      </c>
      <c r="C75" s="3">
        <v>886.67</v>
      </c>
      <c r="D75" s="3">
        <v>283.91000000000003</v>
      </c>
      <c r="E75" s="3">
        <f t="shared" si="4"/>
        <v>1170.58</v>
      </c>
      <c r="F75">
        <v>0</v>
      </c>
      <c r="G75">
        <v>17</v>
      </c>
      <c r="H75">
        <v>7</v>
      </c>
      <c r="I75" s="3" t="str">
        <f>_xlfn.XLOOKUP(A75,targets!A:A,targets!B:B,"no target")</f>
        <v>no target</v>
      </c>
      <c r="J75" s="4" t="str">
        <f t="shared" si="5"/>
        <v/>
      </c>
    </row>
    <row r="76" spans="1:10" x14ac:dyDescent="0.35">
      <c r="A76" t="s">
        <v>83</v>
      </c>
      <c r="B76" s="3">
        <v>0</v>
      </c>
      <c r="C76" s="3">
        <v>837.41</v>
      </c>
      <c r="D76" s="3">
        <v>117.58</v>
      </c>
      <c r="E76" s="3">
        <f t="shared" si="4"/>
        <v>954.99</v>
      </c>
      <c r="F76">
        <v>0</v>
      </c>
      <c r="G76">
        <v>11</v>
      </c>
      <c r="H76">
        <v>1</v>
      </c>
      <c r="I76" s="3" t="str">
        <f>_xlfn.XLOOKUP(A76,targets!A:A,targets!B:B,"no target")</f>
        <v>no target</v>
      </c>
      <c r="J76" s="4" t="str">
        <f t="shared" si="5"/>
        <v/>
      </c>
    </row>
    <row r="77" spans="1:10" x14ac:dyDescent="0.35">
      <c r="A77" t="s">
        <v>84</v>
      </c>
      <c r="B77" s="3">
        <v>0</v>
      </c>
      <c r="C77" s="3">
        <v>471.32</v>
      </c>
      <c r="D77" s="3">
        <v>194.04</v>
      </c>
      <c r="E77" s="3">
        <f t="shared" si="4"/>
        <v>665.36</v>
      </c>
      <c r="F77">
        <v>0</v>
      </c>
      <c r="G77">
        <v>5</v>
      </c>
      <c r="H77">
        <v>3</v>
      </c>
      <c r="I77" s="3" t="str">
        <f>_xlfn.XLOOKUP(A77,targets!A:A,targets!B:B,"no target")</f>
        <v>no target</v>
      </c>
      <c r="J77" s="4" t="str">
        <f t="shared" si="5"/>
        <v/>
      </c>
    </row>
    <row r="78" spans="1:10" x14ac:dyDescent="0.35">
      <c r="A78" t="s">
        <v>85</v>
      </c>
      <c r="B78" s="3">
        <v>0</v>
      </c>
      <c r="C78" s="3">
        <v>324.51</v>
      </c>
      <c r="D78" s="3">
        <v>0</v>
      </c>
      <c r="E78" s="3">
        <f t="shared" si="4"/>
        <v>324.51</v>
      </c>
      <c r="F78">
        <v>0</v>
      </c>
      <c r="G78">
        <v>2</v>
      </c>
      <c r="H78">
        <v>0</v>
      </c>
      <c r="I78" s="3" t="str">
        <f>_xlfn.XLOOKUP(A78,targets!A:A,targets!B:B,"no target")</f>
        <v>no target</v>
      </c>
      <c r="J78" s="4" t="str">
        <f t="shared" si="5"/>
        <v/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30" customWidth="1"/>
    <col min="2" max="2" width="18" customWidth="1"/>
  </cols>
  <sheetData>
    <row r="1" spans="1:4" x14ac:dyDescent="0.35">
      <c r="A1" s="2" t="s">
        <v>2</v>
      </c>
      <c r="B1" s="2" t="s">
        <v>86</v>
      </c>
      <c r="D1" t="s">
        <v>87</v>
      </c>
    </row>
    <row r="2" spans="1:4" x14ac:dyDescent="0.35">
      <c r="A2" t="s">
        <v>12</v>
      </c>
      <c r="B2" s="3">
        <v>1400000</v>
      </c>
    </row>
    <row r="3" spans="1:4" x14ac:dyDescent="0.35">
      <c r="A3" t="s">
        <v>13</v>
      </c>
      <c r="B3" s="3">
        <v>1200000</v>
      </c>
    </row>
    <row r="4" spans="1:4" x14ac:dyDescent="0.35">
      <c r="A4" t="s">
        <v>14</v>
      </c>
      <c r="B4" s="3">
        <v>1300000</v>
      </c>
    </row>
    <row r="5" spans="1:4" x14ac:dyDescent="0.35">
      <c r="A5" t="s">
        <v>15</v>
      </c>
      <c r="B5" s="3">
        <v>1100000</v>
      </c>
    </row>
    <row r="6" spans="1:4" x14ac:dyDescent="0.35">
      <c r="A6" t="s">
        <v>16</v>
      </c>
      <c r="B6" s="3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Reddy</cp:lastModifiedBy>
  <dcterms:created xsi:type="dcterms:W3CDTF">2026-10-10T11:38:29Z</dcterms:created>
  <dcterms:modified xsi:type="dcterms:W3CDTF">2026-10-10T11:38:50Z</dcterms:modified>
</cp:coreProperties>
</file>